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bolenkosi\Downloads\"/>
    </mc:Choice>
  </mc:AlternateContent>
  <xr:revisionPtr revIDLastSave="0" documentId="13_ncr:9_{8A7F28C2-4E3B-410D-A908-4D8F42AD5463}" xr6:coauthVersionLast="47" xr6:coauthVersionMax="47" xr10:uidLastSave="{00000000-0000-0000-0000-000000000000}"/>
  <bookViews>
    <workbookView xWindow="-108" yWindow="-108" windowWidth="23256" windowHeight="12456" xr2:uid="{B83B3499-653F-4927-A024-97087F40D72D}"/>
  </bookViews>
  <sheets>
    <sheet name="route_pricing" sheetId="1" r:id="rId1"/>
  </sheets>
  <calcPr calcId="0"/>
</workbook>
</file>

<file path=xl/calcChain.xml><?xml version="1.0" encoding="utf-8"?>
<calcChain xmlns="http://schemas.openxmlformats.org/spreadsheetml/2006/main">
  <c r="L4" i="1" l="1"/>
  <c r="L8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2" i="1"/>
  <c r="J51" i="1" l="1"/>
  <c r="J42" i="1"/>
  <c r="J31" i="1"/>
  <c r="J19" i="1"/>
  <c r="J59" i="1"/>
  <c r="J50" i="1"/>
  <c r="J39" i="1"/>
  <c r="J27" i="1"/>
  <c r="J18" i="1"/>
  <c r="J7" i="1"/>
  <c r="J58" i="1"/>
  <c r="J47" i="1"/>
  <c r="J35" i="1"/>
  <c r="J26" i="1"/>
  <c r="J15" i="1"/>
  <c r="J55" i="1"/>
  <c r="J43" i="1"/>
  <c r="J34" i="1"/>
  <c r="J23" i="1"/>
  <c r="J11" i="1"/>
  <c r="J10" i="1"/>
  <c r="J54" i="1"/>
  <c r="J46" i="1"/>
  <c r="J38" i="1"/>
  <c r="J30" i="1"/>
  <c r="J22" i="1"/>
  <c r="J14" i="1"/>
  <c r="J6" i="1"/>
  <c r="J2" i="1"/>
  <c r="J56" i="1"/>
  <c r="J52" i="1"/>
  <c r="J48" i="1"/>
  <c r="J44" i="1"/>
  <c r="J40" i="1"/>
  <c r="J36" i="1"/>
  <c r="J32" i="1"/>
  <c r="J28" i="1"/>
  <c r="J24" i="1"/>
  <c r="J20" i="1"/>
  <c r="J16" i="1"/>
  <c r="J12" i="1"/>
  <c r="J8" i="1"/>
  <c r="J4" i="1"/>
  <c r="J3" i="1"/>
  <c r="J57" i="1"/>
  <c r="J53" i="1"/>
  <c r="J49" i="1"/>
  <c r="J45" i="1"/>
  <c r="J41" i="1"/>
  <c r="J37" i="1"/>
  <c r="J33" i="1"/>
  <c r="J29" i="1"/>
  <c r="J25" i="1"/>
  <c r="J21" i="1"/>
  <c r="J17" i="1"/>
  <c r="J13" i="1"/>
  <c r="J9" i="1"/>
  <c r="J5" i="1"/>
  <c r="L6" i="1" l="1"/>
</calcChain>
</file>

<file path=xl/sharedStrings.xml><?xml version="1.0" encoding="utf-8"?>
<sst xmlns="http://schemas.openxmlformats.org/spreadsheetml/2006/main" count="196" uniqueCount="96">
  <si>
    <t>route_id</t>
  </si>
  <si>
    <t>origin_city</t>
  </si>
  <si>
    <t>destination_city</t>
  </si>
  <si>
    <t>typical_distance_miles</t>
  </si>
  <si>
    <t>base_rate_per_mile</t>
  </si>
  <si>
    <t>num_loads</t>
  </si>
  <si>
    <t>total_revenue</t>
  </si>
  <si>
    <t>billed_per_mile</t>
  </si>
  <si>
    <t>RTE00037</t>
  </si>
  <si>
    <t>Las Vegas</t>
  </si>
  <si>
    <t>New York</t>
  </si>
  <si>
    <t>RTE00043</t>
  </si>
  <si>
    <t>Charlotte</t>
  </si>
  <si>
    <t>Denver</t>
  </si>
  <si>
    <t>RTE00010</t>
  </si>
  <si>
    <t>Philadelphia</t>
  </si>
  <si>
    <t>RTE00052</t>
  </si>
  <si>
    <t>Memphis</t>
  </si>
  <si>
    <t>Minneapolis</t>
  </si>
  <si>
    <t>RTE00025</t>
  </si>
  <si>
    <t>Miami</t>
  </si>
  <si>
    <t>Seattle</t>
  </si>
  <si>
    <t>RTE00011</t>
  </si>
  <si>
    <t>Columbus</t>
  </si>
  <si>
    <t>RTE00035</t>
  </si>
  <si>
    <t>Dallas</t>
  </si>
  <si>
    <t>RTE00001</t>
  </si>
  <si>
    <t>Atlanta</t>
  </si>
  <si>
    <t>Chicago</t>
  </si>
  <si>
    <t>RTE00013</t>
  </si>
  <si>
    <t>Phoenix</t>
  </si>
  <si>
    <t>RTE00026</t>
  </si>
  <si>
    <t>RTE00020</t>
  </si>
  <si>
    <t>Houston</t>
  </si>
  <si>
    <t>RTE00017</t>
  </si>
  <si>
    <t>RTE00004</t>
  </si>
  <si>
    <t>Portland</t>
  </si>
  <si>
    <t>RTE00051</t>
  </si>
  <si>
    <t>Los Angeles</t>
  </si>
  <si>
    <t>RTE00028</t>
  </si>
  <si>
    <t>RTE00050</t>
  </si>
  <si>
    <t>Kansas City</t>
  </si>
  <si>
    <t>RTE00022</t>
  </si>
  <si>
    <t>RTE00009</t>
  </si>
  <si>
    <t>Indianapolis</t>
  </si>
  <si>
    <t>RTE00032</t>
  </si>
  <si>
    <t>Detroit</t>
  </si>
  <si>
    <t>RTE00054</t>
  </si>
  <si>
    <t>RTE00027</t>
  </si>
  <si>
    <t>RTE00047</t>
  </si>
  <si>
    <t>RTE00018</t>
  </si>
  <si>
    <t>RTE00039</t>
  </si>
  <si>
    <t>RTE00002</t>
  </si>
  <si>
    <t>RTE00034</t>
  </si>
  <si>
    <t>RTE00006</t>
  </si>
  <si>
    <t>RTE00014</t>
  </si>
  <si>
    <t>RTE00031</t>
  </si>
  <si>
    <t>RTE00058</t>
  </si>
  <si>
    <t>RTE00045</t>
  </si>
  <si>
    <t>RTE00023</t>
  </si>
  <si>
    <t>RTE00019</t>
  </si>
  <si>
    <t>RTE00053</t>
  </si>
  <si>
    <t>RTE00040</t>
  </si>
  <si>
    <t>RTE00042</t>
  </si>
  <si>
    <t>RTE00033</t>
  </si>
  <si>
    <t>RTE00005</t>
  </si>
  <si>
    <t>RTE00057</t>
  </si>
  <si>
    <t>RTE00021</t>
  </si>
  <si>
    <t>RTE00056</t>
  </si>
  <si>
    <t>RTE00029</t>
  </si>
  <si>
    <t>RTE00030</t>
  </si>
  <si>
    <t>RTE00024</t>
  </si>
  <si>
    <t>RTE00055</t>
  </si>
  <si>
    <t>RTE00016</t>
  </si>
  <si>
    <t>RTE00007</t>
  </si>
  <si>
    <t>RTE00003</t>
  </si>
  <si>
    <t>RTE00049</t>
  </si>
  <si>
    <t>RTE00008</t>
  </si>
  <si>
    <t>RTE00036</t>
  </si>
  <si>
    <t>RTE00044</t>
  </si>
  <si>
    <t>RTE00048</t>
  </si>
  <si>
    <t>RTE00038</t>
  </si>
  <si>
    <t>RTE00012</t>
  </si>
  <si>
    <t>RTE00046</t>
  </si>
  <si>
    <t>RTE00041</t>
  </si>
  <si>
    <t>RTE00015</t>
  </si>
  <si>
    <t>miles_driven</t>
  </si>
  <si>
    <t>percentile</t>
  </si>
  <si>
    <t>fair_price</t>
  </si>
  <si>
    <t>gain_per_year</t>
  </si>
  <si>
    <t>total_gain_per_year</t>
  </si>
  <si>
    <t>lanes_raised</t>
  </si>
  <si>
    <t>scenario</t>
  </si>
  <si>
    <t>Conservative</t>
  </si>
  <si>
    <t>Ambitious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</si>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</sst>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30AF-0E02-45F5-B2E2-217E8C1C42F8}">
  <dimension ref="A1:R59"/>
  <sheetViews>
    <sheetView tabSelected="1" workbookViewId="0">
      <selection activeCell="K12" sqref="K12"/>
    </sheetView>
  </sheetViews>
  <sheetFormatPr defaultRowHeight="14.4"/>
  <cols>
    <col min="1" max="1" width="9" bestFit="1" customWidth="1"/>
    <col min="2" max="2" width="10.88671875" bestFit="1" customWidth="1"/>
    <col min="3" max="3" width="13.5546875" bestFit="1" customWidth="1"/>
    <col min="4" max="4" width="19.21875" bestFit="1" customWidth="1"/>
    <col min="5" max="5" width="16.6640625" bestFit="1" customWidth="1"/>
    <col min="6" max="6" width="9.6640625" bestFit="1" customWidth="1"/>
    <col min="7" max="7" width="12" bestFit="1" customWidth="1"/>
    <col min="8" max="8" width="13.109375" bestFit="1" customWidth="1"/>
    <col min="9" max="9" width="11" bestFit="1" customWidth="1"/>
    <col min="10" max="10" width="12" bestFit="1" customWidth="1"/>
    <col min="12" max="12" width="16.44140625" bestFit="1" customWidth="1"/>
    <col min="14" max="14" width="11.33203125" bestFit="1" customWidth="1"/>
    <col min="16" max="16" width="8.77734375" bestFit="1" customWidth="1"/>
    <col min="17" max="17" width="11.21875" bestFit="1" customWidth="1"/>
    <col min="18" max="18" width="12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86</v>
      </c>
      <c r="J1" t="s">
        <v>89</v>
      </c>
      <c r="L1" t="s">
        <v>87</v>
      </c>
      <c r="N1" s="1" t="s">
        <v>92</v>
      </c>
      <c r="O1" s="1" t="s">
        <v>87</v>
      </c>
      <c r="P1" s="1" t="s">
        <v>88</v>
      </c>
      <c r="Q1" s="1" t="s">
        <v>91</v>
      </c>
      <c r="R1" t="s">
        <v>89</v>
      </c>
    </row>
    <row r="2" spans="1:18">
      <c r="A2" t="s">
        <v>8</v>
      </c>
      <c r="B2" t="s">
        <v>9</v>
      </c>
      <c r="C2" t="s">
        <v>10</v>
      </c>
      <c r="D2">
        <v>2561</v>
      </c>
      <c r="E2">
        <v>1.519999981</v>
      </c>
      <c r="F2">
        <v>1477</v>
      </c>
      <c r="G2">
        <v>5770647.8039999995</v>
      </c>
      <c r="H2">
        <v>1.525578275</v>
      </c>
      <c r="I2">
        <f>F2*D2</f>
        <v>3782597</v>
      </c>
      <c r="J2">
        <f>MAX(0,$L$4-H2)*I2/3</f>
        <v>475345.34070603875</v>
      </c>
      <c r="L2">
        <v>0.25</v>
      </c>
      <c r="N2" t="s">
        <v>93</v>
      </c>
      <c r="O2">
        <v>0.25</v>
      </c>
      <c r="P2">
        <v>1.9025774695</v>
      </c>
      <c r="Q2">
        <v>15</v>
      </c>
      <c r="R2">
        <v>2062632.2699404075</v>
      </c>
    </row>
    <row r="3" spans="1:18">
      <c r="A3" t="s">
        <v>11</v>
      </c>
      <c r="B3" t="s">
        <v>12</v>
      </c>
      <c r="C3" t="s">
        <v>13</v>
      </c>
      <c r="D3">
        <v>1559</v>
      </c>
      <c r="E3">
        <v>1.5499999520000001</v>
      </c>
      <c r="F3">
        <v>1500</v>
      </c>
      <c r="G3">
        <v>3616131.159</v>
      </c>
      <c r="H3">
        <v>1.5463464440000001</v>
      </c>
      <c r="I3">
        <f t="shared" ref="I3:I59" si="0">F3*D3</f>
        <v>2338500</v>
      </c>
      <c r="J3">
        <f t="shared" ref="J3:J59" si="1">MAX(0,$L$4-H3)*I3/3</f>
        <v>277682.08437724988</v>
      </c>
      <c r="L3" t="s">
        <v>88</v>
      </c>
      <c r="N3" t="s">
        <v>95</v>
      </c>
      <c r="O3">
        <v>0.5</v>
      </c>
      <c r="P3">
        <v>2.2250684514999999</v>
      </c>
      <c r="Q3">
        <v>29</v>
      </c>
      <c r="R3">
        <v>6910102.6491545867</v>
      </c>
    </row>
    <row r="4" spans="1:18">
      <c r="A4" t="s">
        <v>14</v>
      </c>
      <c r="B4" t="s">
        <v>10</v>
      </c>
      <c r="C4" t="s">
        <v>15</v>
      </c>
      <c r="D4">
        <v>92</v>
      </c>
      <c r="E4">
        <v>1.6100000139999999</v>
      </c>
      <c r="F4">
        <v>1468</v>
      </c>
      <c r="G4">
        <v>217573.04980000001</v>
      </c>
      <c r="H4">
        <v>1.61098396</v>
      </c>
      <c r="I4">
        <f t="shared" si="0"/>
        <v>135056</v>
      </c>
      <c r="J4">
        <f t="shared" si="1"/>
        <v>13127.151006343998</v>
      </c>
      <c r="L4">
        <f>_xlfn.PERCENTILE.INC(H2:H59,L2)</f>
        <v>1.9025774695</v>
      </c>
      <c r="N4" s="1" t="s">
        <v>94</v>
      </c>
      <c r="O4">
        <v>0.75</v>
      </c>
      <c r="P4">
        <v>2.4836194750000002</v>
      </c>
      <c r="Q4">
        <v>43</v>
      </c>
      <c r="R4">
        <v>12385109.205426617</v>
      </c>
    </row>
    <row r="5" spans="1:18">
      <c r="A5" t="s">
        <v>16</v>
      </c>
      <c r="B5" t="s">
        <v>17</v>
      </c>
      <c r="C5" t="s">
        <v>18</v>
      </c>
      <c r="D5">
        <v>804</v>
      </c>
      <c r="E5">
        <v>1.6299999949999999</v>
      </c>
      <c r="F5">
        <v>1490</v>
      </c>
      <c r="G5">
        <v>1950967.02</v>
      </c>
      <c r="H5">
        <v>1.628574427</v>
      </c>
      <c r="I5">
        <f t="shared" si="0"/>
        <v>1197960</v>
      </c>
      <c r="J5">
        <f t="shared" si="1"/>
        <v>109414.89493109997</v>
      </c>
      <c r="L5" t="s">
        <v>90</v>
      </c>
    </row>
    <row r="6" spans="1:18">
      <c r="A6" t="s">
        <v>19</v>
      </c>
      <c r="B6" t="s">
        <v>20</v>
      </c>
      <c r="C6" t="s">
        <v>21</v>
      </c>
      <c r="D6">
        <v>3141</v>
      </c>
      <c r="E6">
        <v>1.6499999759999999</v>
      </c>
      <c r="F6">
        <v>1450</v>
      </c>
      <c r="G6">
        <v>7523007.1310000001</v>
      </c>
      <c r="H6">
        <v>1.6517926709999999</v>
      </c>
      <c r="I6">
        <f t="shared" si="0"/>
        <v>4554450</v>
      </c>
      <c r="J6">
        <f t="shared" si="1"/>
        <v>380728.94184277504</v>
      </c>
      <c r="L6">
        <f>SUM(J2:J59)</f>
        <v>2062632.2699404075</v>
      </c>
    </row>
    <row r="7" spans="1:18">
      <c r="A7" t="s">
        <v>22</v>
      </c>
      <c r="B7" t="s">
        <v>10</v>
      </c>
      <c r="C7" t="s">
        <v>23</v>
      </c>
      <c r="D7">
        <v>547</v>
      </c>
      <c r="E7">
        <v>1.690000057</v>
      </c>
      <c r="F7">
        <v>1501</v>
      </c>
      <c r="G7">
        <v>1382122.12</v>
      </c>
      <c r="H7">
        <v>1.683365411</v>
      </c>
      <c r="I7">
        <f t="shared" si="0"/>
        <v>821047</v>
      </c>
      <c r="J7">
        <f t="shared" si="1"/>
        <v>59994.467665083146</v>
      </c>
      <c r="L7" t="s">
        <v>91</v>
      </c>
    </row>
    <row r="8" spans="1:18">
      <c r="A8" t="s">
        <v>24</v>
      </c>
      <c r="B8" t="s">
        <v>9</v>
      </c>
      <c r="C8" t="s">
        <v>25</v>
      </c>
      <c r="D8">
        <v>1229</v>
      </c>
      <c r="E8">
        <v>1.690000057</v>
      </c>
      <c r="F8">
        <v>1441</v>
      </c>
      <c r="G8">
        <v>2990648.7459999998</v>
      </c>
      <c r="H8">
        <v>1.6886884929999999</v>
      </c>
      <c r="I8">
        <f t="shared" si="0"/>
        <v>1770989</v>
      </c>
      <c r="J8">
        <f t="shared" si="1"/>
        <v>126265.00820091953</v>
      </c>
      <c r="L8">
        <f>COUNTIF(H2:H59,"&lt;"&amp;L4)</f>
        <v>15</v>
      </c>
    </row>
    <row r="9" spans="1:18">
      <c r="A9" t="s">
        <v>26</v>
      </c>
      <c r="B9" t="s">
        <v>27</v>
      </c>
      <c r="C9" t="s">
        <v>28</v>
      </c>
      <c r="D9">
        <v>677</v>
      </c>
      <c r="E9">
        <v>1.7000000479999999</v>
      </c>
      <c r="F9">
        <v>1456</v>
      </c>
      <c r="G9">
        <v>1675362.798</v>
      </c>
      <c r="H9">
        <v>1.6996473599999999</v>
      </c>
      <c r="I9">
        <f t="shared" si="0"/>
        <v>985712</v>
      </c>
      <c r="J9">
        <f t="shared" si="1"/>
        <v>66676.881365154666</v>
      </c>
    </row>
    <row r="10" spans="1:18">
      <c r="A10" t="s">
        <v>29</v>
      </c>
      <c r="B10" t="s">
        <v>30</v>
      </c>
      <c r="C10" t="s">
        <v>13</v>
      </c>
      <c r="D10">
        <v>673</v>
      </c>
      <c r="E10">
        <v>1.7000000479999999</v>
      </c>
      <c r="F10">
        <v>1462</v>
      </c>
      <c r="G10">
        <v>1672332.07</v>
      </c>
      <c r="H10">
        <v>1.6996522810000001</v>
      </c>
      <c r="I10">
        <f t="shared" si="0"/>
        <v>983926</v>
      </c>
      <c r="J10">
        <f t="shared" si="1"/>
        <v>66554.456340016957</v>
      </c>
    </row>
    <row r="11" spans="1:18">
      <c r="A11" t="s">
        <v>31</v>
      </c>
      <c r="B11" t="s">
        <v>20</v>
      </c>
      <c r="C11" t="s">
        <v>13</v>
      </c>
      <c r="D11">
        <v>1984</v>
      </c>
      <c r="E11">
        <v>1.7200000289999999</v>
      </c>
      <c r="F11">
        <v>1440</v>
      </c>
      <c r="G11">
        <v>4906933.6710000001</v>
      </c>
      <c r="H11">
        <v>1.7175367070000001</v>
      </c>
      <c r="I11">
        <f t="shared" si="0"/>
        <v>2856960</v>
      </c>
      <c r="J11">
        <f t="shared" si="1"/>
        <v>176218.01894399989</v>
      </c>
    </row>
    <row r="12" spans="1:18">
      <c r="A12" t="s">
        <v>32</v>
      </c>
      <c r="B12" t="s">
        <v>33</v>
      </c>
      <c r="C12" t="s">
        <v>21</v>
      </c>
      <c r="D12">
        <v>2172</v>
      </c>
      <c r="E12">
        <v>1.769999981</v>
      </c>
      <c r="F12">
        <v>1485</v>
      </c>
      <c r="G12">
        <v>5712509.2439999999</v>
      </c>
      <c r="H12">
        <v>1.771090042</v>
      </c>
      <c r="I12">
        <f t="shared" si="0"/>
        <v>3225420</v>
      </c>
      <c r="J12">
        <f t="shared" si="1"/>
        <v>141367.39280234996</v>
      </c>
    </row>
    <row r="13" spans="1:18">
      <c r="A13" t="s">
        <v>34</v>
      </c>
      <c r="B13" t="s">
        <v>15</v>
      </c>
      <c r="C13" t="s">
        <v>18</v>
      </c>
      <c r="D13">
        <v>1130</v>
      </c>
      <c r="E13">
        <v>1.809999943</v>
      </c>
      <c r="F13">
        <v>1473</v>
      </c>
      <c r="G13">
        <v>3013539.602</v>
      </c>
      <c r="H13">
        <v>1.810488259</v>
      </c>
      <c r="I13">
        <f t="shared" si="0"/>
        <v>1664490</v>
      </c>
      <c r="J13">
        <f t="shared" si="1"/>
        <v>51093.856661714985</v>
      </c>
    </row>
    <row r="14" spans="1:18">
      <c r="A14" t="s">
        <v>35</v>
      </c>
      <c r="B14" t="s">
        <v>28</v>
      </c>
      <c r="C14" t="s">
        <v>36</v>
      </c>
      <c r="D14">
        <v>2017</v>
      </c>
      <c r="E14">
        <v>1.8400000329999999</v>
      </c>
      <c r="F14">
        <v>1459</v>
      </c>
      <c r="G14">
        <v>5418160.4040000001</v>
      </c>
      <c r="H14">
        <v>1.841156341</v>
      </c>
      <c r="I14">
        <f t="shared" si="0"/>
        <v>2942803</v>
      </c>
      <c r="J14">
        <f t="shared" si="1"/>
        <v>60250.093737728428</v>
      </c>
    </row>
    <row r="15" spans="1:18">
      <c r="A15" t="s">
        <v>37</v>
      </c>
      <c r="B15" t="s">
        <v>17</v>
      </c>
      <c r="C15" t="s">
        <v>38</v>
      </c>
      <c r="D15">
        <v>1840</v>
      </c>
      <c r="E15">
        <v>1.8500000240000001</v>
      </c>
      <c r="F15">
        <v>1480</v>
      </c>
      <c r="G15">
        <v>5047294.1229999997</v>
      </c>
      <c r="H15">
        <v>1.853442319</v>
      </c>
      <c r="I15">
        <f t="shared" si="0"/>
        <v>2723200</v>
      </c>
      <c r="J15">
        <f t="shared" si="1"/>
        <v>44601.613947199949</v>
      </c>
    </row>
    <row r="16" spans="1:18">
      <c r="A16" t="s">
        <v>39</v>
      </c>
      <c r="B16" t="s">
        <v>21</v>
      </c>
      <c r="C16" t="s">
        <v>33</v>
      </c>
      <c r="D16">
        <v>2172</v>
      </c>
      <c r="E16">
        <v>1.8899999860000001</v>
      </c>
      <c r="F16">
        <v>1518</v>
      </c>
      <c r="G16">
        <v>6233044.3609999996</v>
      </c>
      <c r="H16">
        <v>1.8904649309999999</v>
      </c>
      <c r="I16">
        <f t="shared" si="0"/>
        <v>3297096</v>
      </c>
      <c r="J16">
        <f t="shared" si="1"/>
        <v>13312.067412732053</v>
      </c>
    </row>
    <row r="17" spans="1:10">
      <c r="A17" t="s">
        <v>40</v>
      </c>
      <c r="B17" t="s">
        <v>23</v>
      </c>
      <c r="C17" t="s">
        <v>41</v>
      </c>
      <c r="D17">
        <v>712</v>
      </c>
      <c r="E17">
        <v>1.940000057</v>
      </c>
      <c r="F17">
        <v>1472</v>
      </c>
      <c r="G17">
        <v>2032107.0989999999</v>
      </c>
      <c r="H17">
        <v>1.9389150850000001</v>
      </c>
      <c r="I17">
        <f t="shared" si="0"/>
        <v>1048064</v>
      </c>
      <c r="J17">
        <f t="shared" si="1"/>
        <v>0</v>
      </c>
    </row>
    <row r="18" spans="1:10">
      <c r="A18" t="s">
        <v>42</v>
      </c>
      <c r="B18" t="s">
        <v>33</v>
      </c>
      <c r="C18" t="s">
        <v>17</v>
      </c>
      <c r="D18">
        <v>557</v>
      </c>
      <c r="E18">
        <v>1.9500000479999999</v>
      </c>
      <c r="F18">
        <v>1424</v>
      </c>
      <c r="G18">
        <v>1542771.851</v>
      </c>
      <c r="H18">
        <v>1.945075761</v>
      </c>
      <c r="I18">
        <f t="shared" si="0"/>
        <v>793168</v>
      </c>
      <c r="J18">
        <f t="shared" si="1"/>
        <v>0</v>
      </c>
    </row>
    <row r="19" spans="1:10">
      <c r="A19" t="s">
        <v>43</v>
      </c>
      <c r="B19" t="s">
        <v>25</v>
      </c>
      <c r="C19" t="s">
        <v>44</v>
      </c>
      <c r="D19">
        <v>878</v>
      </c>
      <c r="E19">
        <v>1.9500000479999999</v>
      </c>
      <c r="F19">
        <v>1477</v>
      </c>
      <c r="G19">
        <v>2528552.04</v>
      </c>
      <c r="H19">
        <v>1.949830615</v>
      </c>
      <c r="I19">
        <f t="shared" si="0"/>
        <v>1296806</v>
      </c>
      <c r="J19">
        <f t="shared" si="1"/>
        <v>0</v>
      </c>
    </row>
    <row r="20" spans="1:10">
      <c r="A20" t="s">
        <v>45</v>
      </c>
      <c r="B20" t="s">
        <v>36</v>
      </c>
      <c r="C20" t="s">
        <v>46</v>
      </c>
      <c r="D20">
        <v>2259</v>
      </c>
      <c r="E20">
        <v>1.9900000099999999</v>
      </c>
      <c r="F20">
        <v>1472</v>
      </c>
      <c r="G20">
        <v>6621835.8030000003</v>
      </c>
      <c r="H20">
        <v>1.9913810350000001</v>
      </c>
      <c r="I20">
        <f t="shared" si="0"/>
        <v>3325248</v>
      </c>
      <c r="J20">
        <f t="shared" si="1"/>
        <v>0</v>
      </c>
    </row>
    <row r="21" spans="1:10">
      <c r="A21" t="s">
        <v>47</v>
      </c>
      <c r="B21" t="s">
        <v>41</v>
      </c>
      <c r="C21" t="s">
        <v>38</v>
      </c>
      <c r="D21">
        <v>1557</v>
      </c>
      <c r="E21">
        <v>2.0099999899999998</v>
      </c>
      <c r="F21">
        <v>1472</v>
      </c>
      <c r="G21">
        <v>4603410.159</v>
      </c>
      <c r="H21">
        <v>2.0085527839999999</v>
      </c>
      <c r="I21">
        <f t="shared" si="0"/>
        <v>2291904</v>
      </c>
      <c r="J21">
        <f t="shared" si="1"/>
        <v>0</v>
      </c>
    </row>
    <row r="22" spans="1:10">
      <c r="A22" t="s">
        <v>48</v>
      </c>
      <c r="B22" t="s">
        <v>46</v>
      </c>
      <c r="C22" t="s">
        <v>33</v>
      </c>
      <c r="D22">
        <v>1271</v>
      </c>
      <c r="E22">
        <v>2.0199999809999998</v>
      </c>
      <c r="F22">
        <v>1491</v>
      </c>
      <c r="G22">
        <v>3834651.273</v>
      </c>
      <c r="H22">
        <v>2.0234975409999998</v>
      </c>
      <c r="I22">
        <f t="shared" si="0"/>
        <v>1895061</v>
      </c>
      <c r="J22">
        <f t="shared" si="1"/>
        <v>0</v>
      </c>
    </row>
    <row r="23" spans="1:10">
      <c r="A23" t="s">
        <v>49</v>
      </c>
      <c r="B23" t="s">
        <v>23</v>
      </c>
      <c r="C23" t="s">
        <v>15</v>
      </c>
      <c r="D23">
        <v>476</v>
      </c>
      <c r="E23">
        <v>2.0599999430000002</v>
      </c>
      <c r="F23">
        <v>1628</v>
      </c>
      <c r="G23">
        <v>1595152.571</v>
      </c>
      <c r="H23">
        <v>2.058452618</v>
      </c>
      <c r="I23">
        <f t="shared" si="0"/>
        <v>774928</v>
      </c>
      <c r="J23">
        <f t="shared" si="1"/>
        <v>0</v>
      </c>
    </row>
    <row r="24" spans="1:10">
      <c r="A24" t="s">
        <v>50</v>
      </c>
      <c r="B24" t="s">
        <v>15</v>
      </c>
      <c r="C24" t="s">
        <v>44</v>
      </c>
      <c r="D24">
        <v>670</v>
      </c>
      <c r="E24">
        <v>2.0699999330000001</v>
      </c>
      <c r="F24">
        <v>1456</v>
      </c>
      <c r="G24">
        <v>2023437.209</v>
      </c>
      <c r="H24">
        <v>2.0742139669999999</v>
      </c>
      <c r="I24">
        <f t="shared" si="0"/>
        <v>975520</v>
      </c>
      <c r="J24">
        <f t="shared" si="1"/>
        <v>0</v>
      </c>
    </row>
    <row r="25" spans="1:10">
      <c r="A25" t="s">
        <v>51</v>
      </c>
      <c r="B25" t="s">
        <v>18</v>
      </c>
      <c r="C25" t="s">
        <v>27</v>
      </c>
      <c r="D25">
        <v>1044</v>
      </c>
      <c r="E25">
        <v>2.079999924</v>
      </c>
      <c r="F25">
        <v>1440</v>
      </c>
      <c r="G25">
        <v>3128669.1</v>
      </c>
      <c r="H25">
        <v>2.0811176960000002</v>
      </c>
      <c r="I25">
        <f t="shared" si="0"/>
        <v>1503360</v>
      </c>
      <c r="J25">
        <f t="shared" si="1"/>
        <v>0</v>
      </c>
    </row>
    <row r="26" spans="1:10">
      <c r="A26" t="s">
        <v>52</v>
      </c>
      <c r="B26" t="s">
        <v>27</v>
      </c>
      <c r="C26" t="s">
        <v>20</v>
      </c>
      <c r="D26">
        <v>697</v>
      </c>
      <c r="E26">
        <v>2.079999924</v>
      </c>
      <c r="F26">
        <v>1481</v>
      </c>
      <c r="G26">
        <v>2154291.1209999998</v>
      </c>
      <c r="H26">
        <v>2.086971675</v>
      </c>
      <c r="I26">
        <f t="shared" si="0"/>
        <v>1032257</v>
      </c>
      <c r="J26">
        <f t="shared" si="1"/>
        <v>0</v>
      </c>
    </row>
    <row r="27" spans="1:10">
      <c r="A27" t="s">
        <v>53</v>
      </c>
      <c r="B27" t="s">
        <v>36</v>
      </c>
      <c r="C27" t="s">
        <v>23</v>
      </c>
      <c r="D27">
        <v>2332</v>
      </c>
      <c r="E27">
        <v>2.119999886</v>
      </c>
      <c r="F27">
        <v>1472</v>
      </c>
      <c r="G27">
        <v>7264971.3099999996</v>
      </c>
      <c r="H27">
        <v>2.1163989989999998</v>
      </c>
      <c r="I27">
        <f t="shared" si="0"/>
        <v>3432704</v>
      </c>
      <c r="J27">
        <f t="shared" si="1"/>
        <v>0</v>
      </c>
    </row>
    <row r="28" spans="1:10">
      <c r="A28" t="s">
        <v>54</v>
      </c>
      <c r="B28" t="s">
        <v>28</v>
      </c>
      <c r="C28" t="s">
        <v>12</v>
      </c>
      <c r="D28">
        <v>675</v>
      </c>
      <c r="E28">
        <v>2.130000114</v>
      </c>
      <c r="F28">
        <v>1460</v>
      </c>
      <c r="G28">
        <v>2105438.9890000001</v>
      </c>
      <c r="H28">
        <v>2.1364170360000001</v>
      </c>
      <c r="I28">
        <f t="shared" si="0"/>
        <v>985500</v>
      </c>
      <c r="J28">
        <f t="shared" si="1"/>
        <v>0</v>
      </c>
    </row>
    <row r="29" spans="1:10">
      <c r="A29" t="s">
        <v>55</v>
      </c>
      <c r="B29" t="s">
        <v>30</v>
      </c>
      <c r="C29" t="s">
        <v>41</v>
      </c>
      <c r="D29">
        <v>1204</v>
      </c>
      <c r="E29">
        <v>2.1400001049999999</v>
      </c>
      <c r="F29">
        <v>1487</v>
      </c>
      <c r="G29">
        <v>3840447.0920000002</v>
      </c>
      <c r="H29">
        <v>2.1450841349999998</v>
      </c>
      <c r="I29">
        <f t="shared" si="0"/>
        <v>1790348</v>
      </c>
      <c r="J29">
        <f t="shared" si="1"/>
        <v>0</v>
      </c>
    </row>
    <row r="30" spans="1:10">
      <c r="A30" t="s">
        <v>56</v>
      </c>
      <c r="B30" t="s">
        <v>13</v>
      </c>
      <c r="C30" t="s">
        <v>41</v>
      </c>
      <c r="D30">
        <v>640</v>
      </c>
      <c r="E30">
        <v>2.1900000569999998</v>
      </c>
      <c r="F30">
        <v>1505</v>
      </c>
      <c r="G30">
        <v>2106384.19</v>
      </c>
      <c r="H30">
        <v>2.186860662</v>
      </c>
      <c r="I30">
        <f t="shared" si="0"/>
        <v>963200</v>
      </c>
      <c r="J30">
        <f t="shared" si="1"/>
        <v>0</v>
      </c>
    </row>
    <row r="31" spans="1:10">
      <c r="A31" t="s">
        <v>57</v>
      </c>
      <c r="B31" t="s">
        <v>41</v>
      </c>
      <c r="C31" t="s">
        <v>44</v>
      </c>
      <c r="D31">
        <v>519</v>
      </c>
      <c r="E31">
        <v>2.2699999809999998</v>
      </c>
      <c r="F31">
        <v>1432</v>
      </c>
      <c r="G31">
        <v>1682085.0090000001</v>
      </c>
      <c r="H31">
        <v>2.2632762409999998</v>
      </c>
      <c r="I31">
        <f t="shared" si="0"/>
        <v>743208</v>
      </c>
      <c r="J31">
        <f t="shared" si="1"/>
        <v>0</v>
      </c>
    </row>
    <row r="32" spans="1:10">
      <c r="A32" t="s">
        <v>58</v>
      </c>
      <c r="B32" t="s">
        <v>12</v>
      </c>
      <c r="C32" t="s">
        <v>17</v>
      </c>
      <c r="D32">
        <v>597</v>
      </c>
      <c r="E32">
        <v>2.329999924</v>
      </c>
      <c r="F32">
        <v>1514</v>
      </c>
      <c r="G32">
        <v>2097068.56</v>
      </c>
      <c r="H32">
        <v>2.3201305510000001</v>
      </c>
      <c r="I32">
        <f t="shared" si="0"/>
        <v>903858</v>
      </c>
      <c r="J32">
        <f t="shared" si="1"/>
        <v>0</v>
      </c>
    </row>
    <row r="33" spans="1:10">
      <c r="A33" t="s">
        <v>59</v>
      </c>
      <c r="B33" t="s">
        <v>20</v>
      </c>
      <c r="C33" t="s">
        <v>25</v>
      </c>
      <c r="D33">
        <v>1276</v>
      </c>
      <c r="E33">
        <v>2.329999924</v>
      </c>
      <c r="F33">
        <v>1398</v>
      </c>
      <c r="G33">
        <v>4154689.2250000001</v>
      </c>
      <c r="H33">
        <v>2.3290601130000002</v>
      </c>
      <c r="I33">
        <f t="shared" si="0"/>
        <v>1783848</v>
      </c>
      <c r="J33">
        <f t="shared" si="1"/>
        <v>0</v>
      </c>
    </row>
    <row r="34" spans="1:10">
      <c r="A34" t="s">
        <v>60</v>
      </c>
      <c r="B34" t="s">
        <v>33</v>
      </c>
      <c r="C34" t="s">
        <v>46</v>
      </c>
      <c r="D34">
        <v>1271</v>
      </c>
      <c r="E34">
        <v>2.329999924</v>
      </c>
      <c r="F34">
        <v>1443</v>
      </c>
      <c r="G34">
        <v>4272648.6399999997</v>
      </c>
      <c r="H34">
        <v>2.32962114</v>
      </c>
      <c r="I34">
        <f t="shared" si="0"/>
        <v>1834053</v>
      </c>
      <c r="J34">
        <f t="shared" si="1"/>
        <v>0</v>
      </c>
    </row>
    <row r="35" spans="1:10">
      <c r="A35" t="s">
        <v>61</v>
      </c>
      <c r="B35" t="s">
        <v>41</v>
      </c>
      <c r="C35" t="s">
        <v>27</v>
      </c>
      <c r="D35">
        <v>777</v>
      </c>
      <c r="E35">
        <v>2.3499999049999998</v>
      </c>
      <c r="F35">
        <v>1386</v>
      </c>
      <c r="G35">
        <v>2529485.88</v>
      </c>
      <c r="H35">
        <v>2.3488106659999999</v>
      </c>
      <c r="I35">
        <f t="shared" si="0"/>
        <v>1076922</v>
      </c>
      <c r="J35">
        <f t="shared" si="1"/>
        <v>0</v>
      </c>
    </row>
    <row r="36" spans="1:10">
      <c r="A36" t="s">
        <v>62</v>
      </c>
      <c r="B36" t="s">
        <v>18</v>
      </c>
      <c r="C36" t="s">
        <v>38</v>
      </c>
      <c r="D36">
        <v>1749</v>
      </c>
      <c r="E36">
        <v>2.380000114</v>
      </c>
      <c r="F36">
        <v>1444</v>
      </c>
      <c r="G36">
        <v>6021487.5650000004</v>
      </c>
      <c r="H36">
        <v>2.3842225500000001</v>
      </c>
      <c r="I36">
        <f t="shared" si="0"/>
        <v>2525556</v>
      </c>
      <c r="J36">
        <f t="shared" si="1"/>
        <v>0</v>
      </c>
    </row>
    <row r="37" spans="1:10">
      <c r="A37" t="s">
        <v>63</v>
      </c>
      <c r="B37" t="s">
        <v>12</v>
      </c>
      <c r="C37" t="s">
        <v>21</v>
      </c>
      <c r="D37">
        <v>2623</v>
      </c>
      <c r="E37">
        <v>2.3900001049999999</v>
      </c>
      <c r="F37">
        <v>1447</v>
      </c>
      <c r="G37">
        <v>9070885.0120000001</v>
      </c>
      <c r="H37">
        <v>2.3899171180000001</v>
      </c>
      <c r="I37">
        <f t="shared" si="0"/>
        <v>3795481</v>
      </c>
      <c r="J37">
        <f t="shared" si="1"/>
        <v>0</v>
      </c>
    </row>
    <row r="38" spans="1:10">
      <c r="A38" t="s">
        <v>64</v>
      </c>
      <c r="B38" t="s">
        <v>36</v>
      </c>
      <c r="C38" t="s">
        <v>21</v>
      </c>
      <c r="D38">
        <v>167</v>
      </c>
      <c r="E38">
        <v>2.420000076</v>
      </c>
      <c r="F38">
        <v>1491</v>
      </c>
      <c r="G38">
        <v>600190.84990000003</v>
      </c>
      <c r="H38">
        <v>2.4104340610000001</v>
      </c>
      <c r="I38">
        <f t="shared" si="0"/>
        <v>248997</v>
      </c>
      <c r="J38">
        <f t="shared" si="1"/>
        <v>0</v>
      </c>
    </row>
    <row r="39" spans="1:10">
      <c r="A39" t="s">
        <v>65</v>
      </c>
      <c r="B39" t="s">
        <v>28</v>
      </c>
      <c r="C39" t="s">
        <v>9</v>
      </c>
      <c r="D39">
        <v>1749</v>
      </c>
      <c r="E39">
        <v>2.4100000860000002</v>
      </c>
      <c r="F39">
        <v>1479</v>
      </c>
      <c r="G39">
        <v>6236094.6830000002</v>
      </c>
      <c r="H39">
        <v>2.410764108</v>
      </c>
      <c r="I39">
        <f t="shared" si="0"/>
        <v>2586771</v>
      </c>
      <c r="J39">
        <f t="shared" si="1"/>
        <v>0</v>
      </c>
    </row>
    <row r="40" spans="1:10">
      <c r="A40" t="s">
        <v>66</v>
      </c>
      <c r="B40" t="s">
        <v>41</v>
      </c>
      <c r="C40" t="s">
        <v>12</v>
      </c>
      <c r="D40">
        <v>921</v>
      </c>
      <c r="E40">
        <v>2.4500000480000002</v>
      </c>
      <c r="F40">
        <v>1469</v>
      </c>
      <c r="G40">
        <v>3307462.8990000002</v>
      </c>
      <c r="H40">
        <v>2.444632355</v>
      </c>
      <c r="I40">
        <f t="shared" si="0"/>
        <v>1352949</v>
      </c>
      <c r="J40">
        <f t="shared" si="1"/>
        <v>0</v>
      </c>
    </row>
    <row r="41" spans="1:10">
      <c r="A41" t="s">
        <v>67</v>
      </c>
      <c r="B41" t="s">
        <v>33</v>
      </c>
      <c r="C41" t="s">
        <v>36</v>
      </c>
      <c r="D41">
        <v>2108</v>
      </c>
      <c r="E41">
        <v>2.4500000480000002</v>
      </c>
      <c r="F41">
        <v>1473</v>
      </c>
      <c r="G41">
        <v>7595328.4570000004</v>
      </c>
      <c r="H41">
        <v>2.4460943589999999</v>
      </c>
      <c r="I41">
        <f t="shared" si="0"/>
        <v>3105084</v>
      </c>
      <c r="J41">
        <f t="shared" si="1"/>
        <v>0</v>
      </c>
    </row>
    <row r="42" spans="1:10">
      <c r="A42" t="s">
        <v>68</v>
      </c>
      <c r="B42" t="s">
        <v>41</v>
      </c>
      <c r="C42" t="s">
        <v>36</v>
      </c>
      <c r="D42">
        <v>1718</v>
      </c>
      <c r="E42">
        <v>2.4700000289999999</v>
      </c>
      <c r="F42">
        <v>1471</v>
      </c>
      <c r="G42">
        <v>6234118.29</v>
      </c>
      <c r="H42">
        <v>2.4668299139999998</v>
      </c>
      <c r="I42">
        <f t="shared" si="0"/>
        <v>2527178</v>
      </c>
      <c r="J42">
        <f t="shared" si="1"/>
        <v>0</v>
      </c>
    </row>
    <row r="43" spans="1:10">
      <c r="A43" t="s">
        <v>69</v>
      </c>
      <c r="B43" t="s">
        <v>21</v>
      </c>
      <c r="C43" t="s">
        <v>12</v>
      </c>
      <c r="D43">
        <v>2623</v>
      </c>
      <c r="E43">
        <v>2.4700000289999999</v>
      </c>
      <c r="F43">
        <v>1467</v>
      </c>
      <c r="G43">
        <v>9516077.716</v>
      </c>
      <c r="H43">
        <v>2.4730310879999999</v>
      </c>
      <c r="I43">
        <f t="shared" si="0"/>
        <v>3847941</v>
      </c>
      <c r="J43">
        <f t="shared" si="1"/>
        <v>0</v>
      </c>
    </row>
    <row r="44" spans="1:10">
      <c r="A44" t="s">
        <v>70</v>
      </c>
      <c r="B44" t="s">
        <v>21</v>
      </c>
      <c r="C44" t="s">
        <v>44</v>
      </c>
      <c r="D44">
        <v>2147</v>
      </c>
      <c r="E44">
        <v>2.4800000190000002</v>
      </c>
      <c r="F44">
        <v>1445</v>
      </c>
      <c r="G44">
        <v>7681556.3289999999</v>
      </c>
      <c r="H44">
        <v>2.475992518</v>
      </c>
      <c r="I44">
        <f t="shared" si="0"/>
        <v>3102415</v>
      </c>
      <c r="J44">
        <f t="shared" si="1"/>
        <v>0</v>
      </c>
    </row>
    <row r="45" spans="1:10">
      <c r="A45" t="s">
        <v>71</v>
      </c>
      <c r="B45" t="s">
        <v>20</v>
      </c>
      <c r="C45" t="s">
        <v>15</v>
      </c>
      <c r="D45">
        <v>1175</v>
      </c>
      <c r="E45">
        <v>2.4800000190000002</v>
      </c>
      <c r="F45">
        <v>1497</v>
      </c>
      <c r="G45">
        <v>4373096.4419999998</v>
      </c>
      <c r="H45">
        <v>2.486161794</v>
      </c>
      <c r="I45">
        <f t="shared" si="0"/>
        <v>1758975</v>
      </c>
      <c r="J45">
        <f t="shared" si="1"/>
        <v>0</v>
      </c>
    </row>
    <row r="46" spans="1:10">
      <c r="A46" t="s">
        <v>72</v>
      </c>
      <c r="B46" t="s">
        <v>41</v>
      </c>
      <c r="C46" t="s">
        <v>20</v>
      </c>
      <c r="D46">
        <v>1429</v>
      </c>
      <c r="E46">
        <v>2.5099999899999998</v>
      </c>
      <c r="F46">
        <v>1443</v>
      </c>
      <c r="G46">
        <v>5170899.4000000004</v>
      </c>
      <c r="H46">
        <v>2.507653511</v>
      </c>
      <c r="I46">
        <f t="shared" si="0"/>
        <v>2062047</v>
      </c>
      <c r="J46">
        <f t="shared" si="1"/>
        <v>0</v>
      </c>
    </row>
    <row r="47" spans="1:10">
      <c r="A47" t="s">
        <v>73</v>
      </c>
      <c r="B47" t="s">
        <v>15</v>
      </c>
      <c r="C47" t="s">
        <v>21</v>
      </c>
      <c r="D47">
        <v>2729</v>
      </c>
      <c r="E47">
        <v>2.5</v>
      </c>
      <c r="F47">
        <v>1465</v>
      </c>
      <c r="G47">
        <v>10069054.23</v>
      </c>
      <c r="H47">
        <v>2.5185322669999999</v>
      </c>
      <c r="I47">
        <f t="shared" si="0"/>
        <v>3997985</v>
      </c>
      <c r="J47">
        <f t="shared" si="1"/>
        <v>0</v>
      </c>
    </row>
    <row r="48" spans="1:10">
      <c r="A48" t="s">
        <v>74</v>
      </c>
      <c r="B48" t="s">
        <v>25</v>
      </c>
      <c r="C48" t="s">
        <v>10</v>
      </c>
      <c r="D48">
        <v>1576</v>
      </c>
      <c r="E48">
        <v>2.539999962</v>
      </c>
      <c r="F48">
        <v>1502</v>
      </c>
      <c r="G48">
        <v>6009333.2999999998</v>
      </c>
      <c r="H48">
        <v>2.5386343170000001</v>
      </c>
      <c r="I48">
        <f t="shared" si="0"/>
        <v>2367152</v>
      </c>
      <c r="J48">
        <f t="shared" si="1"/>
        <v>0</v>
      </c>
    </row>
    <row r="49" spans="1:10">
      <c r="A49" t="s">
        <v>75</v>
      </c>
      <c r="B49" t="s">
        <v>28</v>
      </c>
      <c r="C49" t="s">
        <v>38</v>
      </c>
      <c r="D49">
        <v>2003</v>
      </c>
      <c r="E49">
        <v>2.5499999519999998</v>
      </c>
      <c r="F49">
        <v>1496</v>
      </c>
      <c r="G49">
        <v>7621380.7980000004</v>
      </c>
      <c r="H49">
        <v>2.543437784</v>
      </c>
      <c r="I49">
        <f t="shared" si="0"/>
        <v>2996488</v>
      </c>
      <c r="J49">
        <f t="shared" si="1"/>
        <v>0</v>
      </c>
    </row>
    <row r="50" spans="1:10">
      <c r="A50" t="s">
        <v>76</v>
      </c>
      <c r="B50" t="s">
        <v>23</v>
      </c>
      <c r="C50" t="s">
        <v>18</v>
      </c>
      <c r="D50">
        <v>720</v>
      </c>
      <c r="E50">
        <v>2.619999886</v>
      </c>
      <c r="F50">
        <v>1461</v>
      </c>
      <c r="G50">
        <v>2752205.1889999998</v>
      </c>
      <c r="H50">
        <v>2.6163635909999998</v>
      </c>
      <c r="I50">
        <f t="shared" si="0"/>
        <v>1051920</v>
      </c>
      <c r="J50">
        <f t="shared" si="1"/>
        <v>0</v>
      </c>
    </row>
    <row r="51" spans="1:10">
      <c r="A51" t="s">
        <v>77</v>
      </c>
      <c r="B51" t="s">
        <v>25</v>
      </c>
      <c r="C51" t="s">
        <v>13</v>
      </c>
      <c r="D51">
        <v>762</v>
      </c>
      <c r="E51">
        <v>2.619999886</v>
      </c>
      <c r="F51">
        <v>1461</v>
      </c>
      <c r="G51">
        <v>2915299.8590000002</v>
      </c>
      <c r="H51">
        <v>2.6186535480000002</v>
      </c>
      <c r="I51">
        <f t="shared" si="0"/>
        <v>1113282</v>
      </c>
      <c r="J51">
        <f t="shared" si="1"/>
        <v>0</v>
      </c>
    </row>
    <row r="52" spans="1:10">
      <c r="A52" t="s">
        <v>78</v>
      </c>
      <c r="B52" t="s">
        <v>9</v>
      </c>
      <c r="C52" t="s">
        <v>38</v>
      </c>
      <c r="D52">
        <v>262</v>
      </c>
      <c r="E52">
        <v>2.630000114</v>
      </c>
      <c r="F52">
        <v>1522</v>
      </c>
      <c r="G52">
        <v>1047474.471</v>
      </c>
      <c r="H52">
        <v>2.6268029980000001</v>
      </c>
      <c r="I52">
        <f t="shared" si="0"/>
        <v>398764</v>
      </c>
      <c r="J52">
        <f t="shared" si="1"/>
        <v>0</v>
      </c>
    </row>
    <row r="53" spans="1:10">
      <c r="A53" t="s">
        <v>79</v>
      </c>
      <c r="B53" t="s">
        <v>12</v>
      </c>
      <c r="C53" t="s">
        <v>36</v>
      </c>
      <c r="D53">
        <v>2627</v>
      </c>
      <c r="E53">
        <v>2.6900000569999998</v>
      </c>
      <c r="F53">
        <v>1410</v>
      </c>
      <c r="G53">
        <v>9979091.7249999996</v>
      </c>
      <c r="H53">
        <v>2.6940883200000001</v>
      </c>
      <c r="I53">
        <f t="shared" si="0"/>
        <v>3704070</v>
      </c>
      <c r="J53">
        <f t="shared" si="1"/>
        <v>0</v>
      </c>
    </row>
    <row r="54" spans="1:10">
      <c r="A54" t="s">
        <v>80</v>
      </c>
      <c r="B54" t="s">
        <v>23</v>
      </c>
      <c r="C54" t="s">
        <v>36</v>
      </c>
      <c r="D54">
        <v>2332</v>
      </c>
      <c r="E54">
        <v>2.6900000569999998</v>
      </c>
      <c r="F54">
        <v>1525</v>
      </c>
      <c r="G54">
        <v>9586536.898</v>
      </c>
      <c r="H54">
        <v>2.6956491009999999</v>
      </c>
      <c r="I54">
        <f t="shared" si="0"/>
        <v>3556300</v>
      </c>
      <c r="J54">
        <f t="shared" si="1"/>
        <v>0</v>
      </c>
    </row>
    <row r="55" spans="1:10">
      <c r="A55" t="s">
        <v>81</v>
      </c>
      <c r="B55" t="s">
        <v>9</v>
      </c>
      <c r="C55" t="s">
        <v>41</v>
      </c>
      <c r="D55">
        <v>1311</v>
      </c>
      <c r="E55">
        <v>2.710000038</v>
      </c>
      <c r="F55">
        <v>1425</v>
      </c>
      <c r="G55">
        <v>5053014.9369999999</v>
      </c>
      <c r="H55">
        <v>2.7047867229999998</v>
      </c>
      <c r="I55">
        <f t="shared" si="0"/>
        <v>1868175</v>
      </c>
      <c r="J55">
        <f t="shared" si="1"/>
        <v>0</v>
      </c>
    </row>
    <row r="56" spans="1:10">
      <c r="A56" t="s">
        <v>82</v>
      </c>
      <c r="B56" t="s">
        <v>30</v>
      </c>
      <c r="C56" t="s">
        <v>15</v>
      </c>
      <c r="D56">
        <v>2389</v>
      </c>
      <c r="E56">
        <v>2.710000038</v>
      </c>
      <c r="F56">
        <v>1507</v>
      </c>
      <c r="G56">
        <v>9757537.3839999996</v>
      </c>
      <c r="H56">
        <v>2.7102591660000002</v>
      </c>
      <c r="I56">
        <f t="shared" si="0"/>
        <v>3600223</v>
      </c>
      <c r="J56">
        <f t="shared" si="1"/>
        <v>0</v>
      </c>
    </row>
    <row r="57" spans="1:10">
      <c r="A57" t="s">
        <v>83</v>
      </c>
      <c r="B57" t="s">
        <v>23</v>
      </c>
      <c r="C57" t="s">
        <v>38</v>
      </c>
      <c r="D57">
        <v>2269</v>
      </c>
      <c r="E57">
        <v>2.7400000100000002</v>
      </c>
      <c r="F57">
        <v>1534</v>
      </c>
      <c r="G57">
        <v>9501202.0409999993</v>
      </c>
      <c r="H57">
        <v>2.729723747</v>
      </c>
      <c r="I57">
        <f t="shared" si="0"/>
        <v>3480646</v>
      </c>
      <c r="J57">
        <f t="shared" si="1"/>
        <v>0</v>
      </c>
    </row>
    <row r="58" spans="1:10">
      <c r="A58" t="s">
        <v>84</v>
      </c>
      <c r="B58" t="s">
        <v>18</v>
      </c>
      <c r="C58" t="s">
        <v>33</v>
      </c>
      <c r="D58">
        <v>1216</v>
      </c>
      <c r="E58">
        <v>2.75</v>
      </c>
      <c r="F58">
        <v>1429</v>
      </c>
      <c r="G58">
        <v>4784672.4809999997</v>
      </c>
      <c r="H58">
        <v>2.7535084350000001</v>
      </c>
      <c r="I58">
        <f t="shared" si="0"/>
        <v>1737664</v>
      </c>
      <c r="J58">
        <f t="shared" si="1"/>
        <v>0</v>
      </c>
    </row>
    <row r="59" spans="1:10">
      <c r="A59" t="s">
        <v>85</v>
      </c>
      <c r="B59" t="s">
        <v>15</v>
      </c>
      <c r="C59" t="s">
        <v>10</v>
      </c>
      <c r="D59">
        <v>92</v>
      </c>
      <c r="E59">
        <v>2.789999962</v>
      </c>
      <c r="F59">
        <v>1537</v>
      </c>
      <c r="G59">
        <v>393428.95010000002</v>
      </c>
      <c r="H59">
        <v>2.7823042490000001</v>
      </c>
      <c r="I59">
        <f t="shared" si="0"/>
        <v>141404</v>
      </c>
      <c r="J59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Cebolenkosi</dc:creator>
  <cp:lastModifiedBy>C Dlamini (22354098)</cp:lastModifiedBy>
  <dcterms:created xsi:type="dcterms:W3CDTF">2026-10-11T11:14:40Z</dcterms:created>
  <dcterms:modified xsi:type="dcterms:W3CDTF">2026-10-11T11:57:44Z</dcterms:modified>
</cp:coreProperties>
</file>